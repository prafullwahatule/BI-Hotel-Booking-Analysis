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full Wahatule\Desktop\BI Hotel Booking Analysis\Report\"/>
    </mc:Choice>
  </mc:AlternateContent>
  <xr:revisionPtr revIDLastSave="0" documentId="13_ncr:1_{0368E389-ACF1-4B5A-83EF-5483069C43F6}" xr6:coauthVersionLast="47" xr6:coauthVersionMax="47" xr10:uidLastSave="{00000000-0000-0000-0000-000000000000}"/>
  <bookViews>
    <workbookView xWindow="-108" yWindow="-108" windowWidth="23256" windowHeight="13176" xr2:uid="{982E9D42-EB19-4268-B625-6FDCA404ACAD}"/>
  </bookViews>
  <sheets>
    <sheet name="KYD-Data Cleaning" sheetId="1" r:id="rId1"/>
    <sheet name="KYV-Columns" sheetId="2" r:id="rId2"/>
    <sheet name="Data-Transformation-Wrangling" sheetId="3" r:id="rId3"/>
    <sheet name="Storytelling-KPI-Char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F17" i="1"/>
  <c r="F16" i="1"/>
  <c r="F13" i="1"/>
  <c r="H13" i="1" s="1"/>
  <c r="F15" i="1"/>
  <c r="H15" i="1" s="1"/>
  <c r="F14" i="1"/>
  <c r="H14" i="1" s="1"/>
  <c r="F11" i="1"/>
  <c r="F10" i="1"/>
  <c r="H1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C7B042-AE03-4112-AB9E-7F758D9B6904}" keepAlive="1" name="Query - Hotel Bookings" description="Connection to the 'Hotel Bookings' query in the workbook." type="5" refreshedVersion="0" background="1">
    <dbPr connection="Provider=Microsoft.Mashup.OleDb.1;Data Source=$Workbook$;Location=&quot;Hotel Bookings&quot;;Extended Properties=&quot;&quot;" command="SELECT * FROM [Hotel Bookings]"/>
  </connection>
</connections>
</file>

<file path=xl/sharedStrings.xml><?xml version="1.0" encoding="utf-8"?>
<sst xmlns="http://schemas.openxmlformats.org/spreadsheetml/2006/main" count="359" uniqueCount="254">
  <si>
    <t>Rows After</t>
  </si>
  <si>
    <t>Col After</t>
  </si>
  <si>
    <t>Extract Data From CSV</t>
  </si>
  <si>
    <t>Remove Errors</t>
  </si>
  <si>
    <t>Applied Steps</t>
  </si>
  <si>
    <t>Sr. No.</t>
  </si>
  <si>
    <t>Remove Blank Rows</t>
  </si>
  <si>
    <t>Remove Duplicates</t>
  </si>
  <si>
    <t>Add PK(Primary Key)</t>
  </si>
  <si>
    <t>Null Value in Each Col</t>
  </si>
  <si>
    <t>hotel</t>
  </si>
  <si>
    <t>is_canceled</t>
  </si>
  <si>
    <t>lead_time</t>
  </si>
  <si>
    <t>Total Booking</t>
  </si>
  <si>
    <t>arrival_date_year</t>
  </si>
  <si>
    <t>arrival_date_month</t>
  </si>
  <si>
    <t>arrival_date_week_number</t>
  </si>
  <si>
    <t>arrival_date_day_of_month</t>
  </si>
  <si>
    <t>stays_in_weekend_nights</t>
  </si>
  <si>
    <t>stays_in_week_nights</t>
  </si>
  <si>
    <t>adults</t>
  </si>
  <si>
    <t>children</t>
  </si>
  <si>
    <t>babies</t>
  </si>
  <si>
    <t>meal</t>
  </si>
  <si>
    <t>country</t>
  </si>
  <si>
    <t>market_segment</t>
  </si>
  <si>
    <t>distribution_channel</t>
  </si>
  <si>
    <t>is_repeated_guest</t>
  </si>
  <si>
    <t>previous_cancellations</t>
  </si>
  <si>
    <t>previous_bookings_not_canceled</t>
  </si>
  <si>
    <t>reserved_room_type</t>
  </si>
  <si>
    <t>assigned_room_type</t>
  </si>
  <si>
    <t>booking_changes</t>
  </si>
  <si>
    <t>deposit_type</t>
  </si>
  <si>
    <t>agent</t>
  </si>
  <si>
    <t>company</t>
  </si>
  <si>
    <t>days_in_waiting_list</t>
  </si>
  <si>
    <t>customer_type</t>
  </si>
  <si>
    <t>adr</t>
  </si>
  <si>
    <t>required_car_parking_spaces</t>
  </si>
  <si>
    <t>total_of_special_requests</t>
  </si>
  <si>
    <t>reservation_status</t>
  </si>
  <si>
    <t>reservation_status_date</t>
  </si>
  <si>
    <t>No.</t>
  </si>
  <si>
    <t>Column Name</t>
  </si>
  <si>
    <t>Unique ID for each booking (used to identify each row).</t>
  </si>
  <si>
    <t>Type of hotel (City Hotel or Resort Hotel).</t>
  </si>
  <si>
    <t>Shows if the booking was canceled (1 = Yes, 0 = No).</t>
  </si>
  <si>
    <t>Number of days between booking date and arrival date.</t>
  </si>
  <si>
    <t>Year when the guest was supposed to arrive.</t>
  </si>
  <si>
    <t>Month of the arrival date.</t>
  </si>
  <si>
    <t>Week number of the year for arrival date.</t>
  </si>
  <si>
    <t>Day of the month when guest arrives.</t>
  </si>
  <si>
    <t>Number of weekend nights (Saturday/Sunday) stayed or booked.</t>
  </si>
  <si>
    <t>Number of weekday nights (Monday–Friday) stayed or booked.</t>
  </si>
  <si>
    <t>Number of adults in the booking.</t>
  </si>
  <si>
    <t>Number of children in the booking.</t>
  </si>
  <si>
    <t>Number of babies in the booking.</t>
  </si>
  <si>
    <t>Type of meal plan (BB = Bed &amp; Breakfast, HB = Half Board, FB = Full Board, SC = No meal).</t>
  </si>
  <si>
    <t>Country code of the guest.</t>
  </si>
  <si>
    <t>How the guest booked (like Direct, Online, Corporate, etc.).</t>
  </si>
  <si>
    <t>Channel used for booking (like Direct, Travel Agent, etc.).</t>
  </si>
  <si>
    <t>1 if the guest booked before, otherwise 0.</t>
  </si>
  <si>
    <t>Number of past bookings canceled by this guest.</t>
  </si>
  <si>
    <t>Number of past bookings that were not canceled.</t>
  </si>
  <si>
    <t>Room type requested by the guest.</t>
  </si>
  <si>
    <t>Room type actually assigned at check-in.</t>
  </si>
  <si>
    <t>Number of changes made before arrival.</t>
  </si>
  <si>
    <t>Type of deposit made (No Deposit, Non Refund, Refundable).</t>
  </si>
  <si>
    <t>ID of the travel agent who made the booking (NULL if none).</t>
  </si>
  <si>
    <t>ID of the company that made the booking (NULL if none).</t>
  </si>
  <si>
    <t>Number of days booking stayed on the waiting list.</t>
  </si>
  <si>
    <t>Type of customer (Transient, Contract, Group, Transient-Party).</t>
  </si>
  <si>
    <t>Average Daily Rate (price per night per room).</t>
  </si>
  <si>
    <t>Number of car parking spaces required by the guest.</t>
  </si>
  <si>
    <t>Number of special requests made by the guest.</t>
  </si>
  <si>
    <t>Current status (Check-Out, Canceled, No-Show).</t>
  </si>
  <si>
    <t>Date when the last reservation status was updated.</t>
  </si>
  <si>
    <t>Description</t>
  </si>
  <si>
    <t>Rows Before</t>
  </si>
  <si>
    <t>Effect (Rows)</t>
  </si>
  <si>
    <t>Col Before</t>
  </si>
  <si>
    <t>Effect (Columns)</t>
  </si>
  <si>
    <t>Add PK (Primary Key)</t>
  </si>
  <si>
    <t xml:space="preserve">Remove column </t>
  </si>
  <si>
    <t>add coloumn (total_guest)</t>
  </si>
  <si>
    <t>total guest = adults+children+babies</t>
  </si>
  <si>
    <t>total_guest</t>
  </si>
  <si>
    <t xml:space="preserve">company </t>
  </si>
  <si>
    <t>replece value NULL with "Direct Booking"</t>
  </si>
  <si>
    <t>total_guest Coloumn</t>
  </si>
  <si>
    <t xml:space="preserve">mearge 3 coloumn  </t>
  </si>
  <si>
    <t>Final</t>
  </si>
  <si>
    <t>booking_id</t>
  </si>
  <si>
    <t>arrival_date</t>
  </si>
  <si>
    <t>childern</t>
  </si>
  <si>
    <t>Replace undefined value with the "UD"</t>
  </si>
  <si>
    <t>required_car_parking_spaces Remove</t>
  </si>
  <si>
    <t>total_of_special_requests Remove</t>
  </si>
  <si>
    <t>Company Remove</t>
  </si>
  <si>
    <t>Remove Errors, Duplicates, Blank Rows</t>
  </si>
  <si>
    <t>Total Guest</t>
  </si>
  <si>
    <t>Total Revenue</t>
  </si>
  <si>
    <t>Average ADR</t>
  </si>
  <si>
    <t>Cancellation Rate (%)</t>
  </si>
  <si>
    <t>KPI's Name</t>
  </si>
  <si>
    <t>Formula</t>
  </si>
  <si>
    <t>Total Nights</t>
  </si>
  <si>
    <t>Calculated Column after the loading data for the calculate total revenue KPI</t>
  </si>
  <si>
    <t>Cancellation Rate (%) = DIVIDE([Canceled Bookings],[Total Booking],0)</t>
  </si>
  <si>
    <t>Repeat Guest Rate (%)</t>
  </si>
  <si>
    <t>Repeat Guest Rate (%) = DIVIDE(CALCULATE(COUNTROWS('Hotel Bookings'),'Hotel Bookings'[is_repeated_guest] = 1),COUNTROWS('Hotel Bookings'),COUNTROWS('Hotel Bookings'),0)</t>
  </si>
  <si>
    <t>Total Booking = DISTINCTCOUNT('Hotel Bookings'[booking_id])</t>
  </si>
  <si>
    <t>Total Guests = SUM('Hotel Bookings'[total_guest])</t>
  </si>
  <si>
    <t>Total Revenue = SUMX( 'Hotel Bookings','Hotel Bookings'[adr] * 'Hotel Bookings'[Total Nights])</t>
  </si>
  <si>
    <t>Average ADR = AVERAGE('Hotel Bookings'[adr])</t>
  </si>
  <si>
    <t>Chart Name</t>
  </si>
  <si>
    <t>Monthly Booking Trend</t>
  </si>
  <si>
    <t>ADR vs Lead Time</t>
  </si>
  <si>
    <t>Hotel Type (City vs Resort) share</t>
  </si>
  <si>
    <t>Reservation Status Distribution</t>
  </si>
  <si>
    <t>Columns Used</t>
  </si>
  <si>
    <t>arrival_date, is_canceled</t>
  </si>
  <si>
    <t>adr, lead_time</t>
  </si>
  <si>
    <t xml:space="preserve">Visual Type </t>
  </si>
  <si>
    <t>Line Chart</t>
  </si>
  <si>
    <t>Clusterd Column Chart</t>
  </si>
  <si>
    <t>Donut Chart</t>
  </si>
  <si>
    <t>Stacked Bar Chart</t>
  </si>
  <si>
    <t>Pie Chart</t>
  </si>
  <si>
    <t>Filters / Slicers</t>
  </si>
  <si>
    <t>Filter / Slicer Name</t>
  </si>
  <si>
    <t>Used Column</t>
  </si>
  <si>
    <t>Hotel Type</t>
  </si>
  <si>
    <t>Market Segment</t>
  </si>
  <si>
    <t>Coustomer Type</t>
  </si>
  <si>
    <t>Visuals</t>
  </si>
  <si>
    <t>reservation_status, COUNT(booking_id)</t>
  </si>
  <si>
    <t>Total Guests (Adults + Children + Babies)</t>
  </si>
  <si>
    <t>% of Repeat Guests</t>
  </si>
  <si>
    <t>Avg. Lead Time per Customer Type</t>
  </si>
  <si>
    <t>Guest Type (Transient, Group, Contract)</t>
  </si>
  <si>
    <t>Repeat vs New Guests</t>
  </si>
  <si>
    <t>Stacked Column Chart</t>
  </si>
  <si>
    <t>Scatter Chart</t>
  </si>
  <si>
    <t xml:space="preserve">Customer Type </t>
  </si>
  <si>
    <t xml:space="preserve">Arrival Month / Year </t>
  </si>
  <si>
    <t>Average Guests per Booking</t>
  </si>
  <si>
    <t>Countries by Bookings</t>
  </si>
  <si>
    <t>Map</t>
  </si>
  <si>
    <t>country, SUM(total_guest)</t>
  </si>
  <si>
    <t>% of Repeat Guests = DIVIDE(CALCULATE(COUNTROWS('Hotel Bookings'),'Hotel Bookings'[is_repeated_guest] = 1),COUNTROWS('Hotel Bookings'),0 )</t>
  </si>
  <si>
    <t>Avg Lead Time per Customer Type = AVERAGEX(VALUES('Hotel Bookings'[customer_type]),CALCULATE(AVERAGE('Hotel Bookings'[lead_time])))</t>
  </si>
  <si>
    <t>Total Guest = SUM('Hotel Bookings'[total_guest])</t>
  </si>
  <si>
    <t>Average Guests per Booking = AVERAGE('Hotel Bookings'[total_guest])</t>
  </si>
  <si>
    <t>is_repeated_guest, COUNT(booking_id)</t>
  </si>
  <si>
    <t>customer_type,COUNT(booking_id)</t>
  </si>
  <si>
    <t>AVG Lead Days by Month</t>
  </si>
  <si>
    <t>lead_time, arrival_date month</t>
  </si>
  <si>
    <t>Cancellation Trend by Customer Type</t>
  </si>
  <si>
    <t>customer_type,reservation_status,Count of booking_id</t>
  </si>
  <si>
    <t>KPI's</t>
  </si>
  <si>
    <t xml:space="preserve">Room Change % </t>
  </si>
  <si>
    <t>Meal Plan Popularity %</t>
  </si>
  <si>
    <t>Channel Revenue Contribution %</t>
  </si>
  <si>
    <t>Bar Chart</t>
  </si>
  <si>
    <t>Column Chart</t>
  </si>
  <si>
    <t>market_segment, adr</t>
  </si>
  <si>
    <t>ADR by Market Segment</t>
  </si>
  <si>
    <t>Distribution Channel</t>
  </si>
  <si>
    <t>Revenue Lost Due to Cancellation</t>
  </si>
  <si>
    <t>Customer Type</t>
  </si>
  <si>
    <t xml:space="preserve">Hotel Type </t>
  </si>
  <si>
    <t>Year/Month</t>
  </si>
  <si>
    <t>Top Performing Room Type</t>
  </si>
  <si>
    <t>Top Preferred Meal Plan</t>
  </si>
  <si>
    <t>Shows which room type generates the highest revenue (profitability focus).</t>
  </si>
  <si>
    <t>% of bookings where assigned room ≠ reserved room → shows upgrades or operational adjustments.</t>
  </si>
  <si>
    <t>% share of each meal type (BB, HB, FB, SC) → guest preference trend.</t>
  </si>
  <si>
    <t>Channel-wise % of total revenue → reveals most profitable booking source.</t>
  </si>
  <si>
    <t>dentifies most chosen meal plan among guests (e.g., BB or HB).</t>
  </si>
  <si>
    <t>Visual Type</t>
  </si>
  <si>
    <t>Insight / Purpose</t>
  </si>
  <si>
    <t>Revenue by Room Type</t>
  </si>
  <si>
    <t>assigned_room_type, adr</t>
  </si>
  <si>
    <t>1. Overview &amp; Key Insights Dashboard</t>
  </si>
  <si>
    <t>2. Guest &amp; Booking Analysis Dashboard</t>
  </si>
  <si>
    <t>3. Room, Meal &amp; Channel Performance Dashboard</t>
  </si>
  <si>
    <t>4. Cancellation &amp; Revenue Dashboard</t>
  </si>
  <si>
    <t>KPI Name</t>
  </si>
  <si>
    <t>Description / Insight</t>
  </si>
  <si>
    <t>No-Show Rate (%)</t>
  </si>
  <si>
    <t>% of bookings where guest did not show up.</t>
  </si>
  <si>
    <t>Total revenue value of canceled bookings.</t>
  </si>
  <si>
    <t>Revenue Retention Rate (%)</t>
  </si>
  <si>
    <t>% of total potential revenue that was retained (not lost).</t>
  </si>
  <si>
    <t>(COUNT(reservation_status = "No-Show") / COUNT(booking_id)) * 100</t>
  </si>
  <si>
    <t>SUMX(FILTER('Hotel', is_canceled = 1), adr * (stays_in_weekend_nights + stays_in_week_nights))</t>
  </si>
  <si>
    <t>(Revenue from completed bookings / Total potential revenue) * 100</t>
  </si>
  <si>
    <t>Monthly Cancellation Trend</t>
  </si>
  <si>
    <t>Shows month-wise trend of cancellations — helps identify seasonal spikes.</t>
  </si>
  <si>
    <t>Deposit Type vs Cancellation %</t>
  </si>
  <si>
    <t>Analyzes how different deposit types (No Deposit / Non Refund / Refundable) affect cancellation likelihood.</t>
  </si>
  <si>
    <t>Revenue Lost Due to Cancellation (Monthly)</t>
  </si>
  <si>
    <t>Displays month-wise total revenue lost because of cancellations.</t>
  </si>
  <si>
    <t>Cancellation by Distribution Channel</t>
  </si>
  <si>
    <t>Identifies which channels (Online, TA/TO, Corporate) contribute most to cancellations.</t>
  </si>
  <si>
    <r>
      <t>arrival_date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Arial Unicode MS"/>
      </rPr>
      <t>is_canceled</t>
    </r>
  </si>
  <si>
    <r>
      <t>deposit_type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Arial Unicode MS"/>
      </rPr>
      <t>is_canceled</t>
    </r>
  </si>
  <si>
    <r>
      <t>arrival_date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Arial Unicode MS"/>
      </rPr>
      <t>adr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Arial Unicode MS"/>
      </rPr>
      <t>stays_in_weekend_nights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Arial Unicode MS"/>
      </rPr>
      <t>stays_in_week_nights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Arial Unicode MS"/>
      </rPr>
      <t>is_canceled</t>
    </r>
  </si>
  <si>
    <r>
      <t>distribution_channel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Arial Unicode MS"/>
      </rPr>
      <t>is_canceled</t>
    </r>
  </si>
  <si>
    <t>Shows total number of bookings made by guests (including canceled &amp; non-canceled).</t>
  </si>
  <si>
    <t>Indicates total number of people (Adults + Children + Babies) who booked. Helps analyze guest volume.</t>
  </si>
  <si>
    <t>Calculates total revenue earned from non-canceled bookings. Formula = ADR × Total Nights.</t>
  </si>
  <si>
    <t>Shows % of bookings canceled — helps identify booking reliability and customer behavior.</t>
  </si>
  <si>
    <t>Percentage of guests who have booked more than once — indicates customer loyalty.</t>
  </si>
  <si>
    <t>Shows the Average Daily Rate (ADR) per booking — helps in evaluating pricing efficiency.</t>
  </si>
  <si>
    <t>Shows the total number of guests who stayed or booked — helps analyze overall footfall.</t>
  </si>
  <si>
    <t>Indicates the loyalty rate — percentage of guests who booked more than once.</t>
  </si>
  <si>
    <t>Calculates the average number of days between booking and arrival for each customer type — helps understand booking behavior.</t>
  </si>
  <si>
    <t>Measures the average number of people per booking, useful for planning room allocation and services.</t>
  </si>
  <si>
    <t>Shows how booking volume and cancellations vary month by month — identifies peak and off-season trends.</t>
  </si>
  <si>
    <t>Analyzes relationship between room rates (ADR) and how early customers book — helps in pricing strategy</t>
  </si>
  <si>
    <t>Displays the proportion of bookings between City and Resort hotels — indicates business vs leisure preference.</t>
  </si>
  <si>
    <t>Shows how many bookings were Canceled, Checked Out, or No-Show — useful for operational performance.</t>
  </si>
  <si>
    <t>Shows share of different customer types — helps understand booking behavior and market segmentation.</t>
  </si>
  <si>
    <t>Compares repeat and first-time guests — reveals loyalty trends and retention rate.</t>
  </si>
  <si>
    <t>Tracks how early guests book across months — useful for demand forecasting.</t>
  </si>
  <si>
    <t>Highlights which customer types tend to cancel more — helps optimize booking policies.</t>
  </si>
  <si>
    <t>Displays geographical distribution of guests — identifies top countries contributing to bookings.</t>
  </si>
  <si>
    <t>Total Booking By Meal</t>
  </si>
  <si>
    <t>meal, total booking</t>
  </si>
  <si>
    <t>Distribution Channel With Cancellation %</t>
  </si>
  <si>
    <t>distribution_channel, cancellation Rate %, Total Revenue</t>
  </si>
  <si>
    <t>Table</t>
  </si>
  <si>
    <t>Meal by Popularity</t>
  </si>
  <si>
    <t>Meal, Meal Plan By Popularity</t>
  </si>
  <si>
    <t>Total Booking  by Distribution Channel-wise Cancellation Rate</t>
  </si>
  <si>
    <t xml:space="preserve">distribution_channel, is_canceled, total booking, </t>
  </si>
  <si>
    <t>Shows which meal plan (BB, HB, FB, SC) has the highest share of total bookings — helps identify guest meal preferences.</t>
  </si>
  <si>
    <t>Compares cancellation rate and revenue contribution by each booking channel — useful for identifying unreliable or profitable sources.</t>
  </si>
  <si>
    <t>Displays the popularity of each meal type based on percentage share — highlights customer preferences.</t>
  </si>
  <si>
    <t>Analyzes Average Daily Rate (ADR) across different market segments — helps evaluate pricing strategy and target markets.</t>
  </si>
  <si>
    <t>Shows revenue contribution by each room type — identifies top-performing room categories.</t>
  </si>
  <si>
    <t>Visualizes booking trends by channel over time, highlighting shifts in cancellations and overall performance.</t>
  </si>
  <si>
    <t>Ribbon Chart</t>
  </si>
  <si>
    <t>Performed Activity</t>
  </si>
  <si>
    <t>(arrival_date) = (arrival_date_year)+(arrival_date_month)+(arrival_date_day_of_month)</t>
  </si>
  <si>
    <t>Add Primary Key</t>
  </si>
  <si>
    <t>Befor Transformation</t>
  </si>
  <si>
    <t>After Transformation</t>
  </si>
  <si>
    <t>Transformation</t>
  </si>
  <si>
    <t>Data Cleaning</t>
  </si>
  <si>
    <t>Remove error after ub titak geust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</si>
</sst>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Segoe UI Emoji"/>
      <family val="2"/>
    </font>
    <font>
      <sz val="11"/>
      <color theme="1"/>
      <name val="Segoe UI Emoji"/>
      <family val="2"/>
    </font>
    <font>
      <sz val="7"/>
      <color rgb="FF000000"/>
      <name val="Consolas"/>
      <family val="3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6"/>
      <color theme="1"/>
      <name val="Calibri"/>
      <family val="2"/>
      <scheme val="minor"/>
    </font>
    <font>
      <sz val="12"/>
      <color theme="1"/>
      <name val="Arial Unicode MS"/>
    </font>
    <font>
      <sz val="12"/>
      <color theme="1"/>
      <name val="Segoe UI Emoji"/>
      <family val="2"/>
    </font>
    <font>
      <sz val="12"/>
      <name val="Calibri"/>
      <family val="2"/>
      <scheme val="minor"/>
    </font>
    <font>
      <sz val="12"/>
      <name val="Segoe UI Emoji"/>
      <family val="2"/>
    </font>
    <font>
      <sz val="8"/>
      <name val="Consolas"/>
      <family val="3"/>
    </font>
    <font>
      <sz val="8"/>
      <color theme="1"/>
      <name val="Consolas"/>
      <family val="3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Arial Unicode MS"/>
    </font>
    <font>
      <b/>
      <sz val="18"/>
      <color theme="1"/>
      <name val="Calibri"/>
      <family val="2"/>
      <scheme val="minor"/>
    </font>
    <font>
      <sz val="12"/>
      <color theme="7" tint="0.5999938962981048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0" borderId="1" xfId="0" applyFont="1" applyBorder="1"/>
    <xf numFmtId="3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3" fontId="2" fillId="6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/>
    <xf numFmtId="0" fontId="4" fillId="0" borderId="0" xfId="0" applyFont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8" borderId="1" xfId="0" applyFont="1" applyFill="1" applyBorder="1"/>
    <xf numFmtId="0" fontId="11" fillId="2" borderId="1" xfId="0" applyFont="1" applyFill="1" applyBorder="1"/>
    <xf numFmtId="0" fontId="11" fillId="5" borderId="1" xfId="0" applyFont="1" applyFill="1" applyBorder="1"/>
    <xf numFmtId="0" fontId="11" fillId="3" borderId="1" xfId="0" applyFont="1" applyFill="1" applyBorder="1"/>
    <xf numFmtId="0" fontId="12" fillId="8" borderId="1" xfId="0" applyFont="1" applyFill="1" applyBorder="1"/>
    <xf numFmtId="0" fontId="13" fillId="0" borderId="1" xfId="0" applyFont="1" applyBorder="1" applyAlignment="1">
      <alignment vertical="center" wrapText="1"/>
    </xf>
    <xf numFmtId="0" fontId="10" fillId="5" borderId="1" xfId="0" applyFont="1" applyFill="1" applyBorder="1"/>
    <xf numFmtId="0" fontId="1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" fillId="8" borderId="1" xfId="0" applyFont="1" applyFill="1" applyBorder="1"/>
    <xf numFmtId="0" fontId="8" fillId="8" borderId="1" xfId="0" applyFont="1" applyFill="1" applyBorder="1"/>
    <xf numFmtId="0" fontId="15" fillId="0" borderId="1" xfId="0" applyFont="1" applyBorder="1"/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9" fillId="0" borderId="1" xfId="0" applyFont="1" applyBorder="1"/>
    <xf numFmtId="0" fontId="14" fillId="0" borderId="1" xfId="0" applyFont="1" applyBorder="1" applyAlignment="1">
      <alignment horizontal="left" vertical="center" indent="1"/>
    </xf>
    <xf numFmtId="0" fontId="14" fillId="0" borderId="1" xfId="0" applyFont="1" applyBorder="1" applyAlignment="1">
      <alignment vertical="center" wrapText="1"/>
    </xf>
    <xf numFmtId="0" fontId="1" fillId="5" borderId="1" xfId="0" applyFont="1" applyFill="1" applyBorder="1"/>
    <xf numFmtId="0" fontId="2" fillId="5" borderId="1" xfId="0" applyFont="1" applyFill="1" applyBorder="1"/>
    <xf numFmtId="0" fontId="9" fillId="5" borderId="1" xfId="0" applyFont="1" applyFill="1" applyBorder="1" applyAlignment="1">
      <alignment horizontal="center" vertical="center"/>
    </xf>
    <xf numFmtId="0" fontId="20" fillId="0" borderId="1" xfId="0" applyFont="1" applyBorder="1"/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1" fillId="0" borderId="1" xfId="0" applyFont="1" applyBorder="1"/>
    <xf numFmtId="0" fontId="22" fillId="9" borderId="0" xfId="0" applyFont="1" applyFill="1" applyAlignment="1">
      <alignment horizontal="center" vertical="center"/>
    </xf>
    <xf numFmtId="0" fontId="2" fillId="0" borderId="1" xfId="0" applyFont="1" applyFill="1" applyBorder="1"/>
    <xf numFmtId="0" fontId="23" fillId="7" borderId="1" xfId="0" applyFont="1" applyFill="1" applyBorder="1"/>
    <xf numFmtId="0" fontId="2" fillId="7" borderId="1" xfId="0" applyFont="1" applyFill="1" applyBorder="1"/>
    <xf numFmtId="3" fontId="2" fillId="0" borderId="1" xfId="0" applyNumberFormat="1" applyFont="1" applyBorder="1"/>
    <xf numFmtId="3" fontId="2" fillId="6" borderId="1" xfId="0" applyNumberFormat="1" applyFont="1" applyFill="1" applyBorder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B20C-65EF-4F6C-8A64-1CB456B3BAB0}">
  <dimension ref="B2:P17"/>
  <sheetViews>
    <sheetView tabSelected="1" zoomScale="85" workbookViewId="0">
      <selection activeCell="J24" sqref="J24"/>
    </sheetView>
  </sheetViews>
  <sheetFormatPr defaultRowHeight="14.4"/>
  <cols>
    <col min="3" max="3" width="36.44140625" bestFit="1" customWidth="1"/>
    <col min="4" max="4" width="22" customWidth="1"/>
    <col min="6" max="6" width="17.33203125" customWidth="1"/>
    <col min="7" max="7" width="16.109375" customWidth="1"/>
    <col min="8" max="8" width="15.6640625" customWidth="1"/>
    <col min="9" max="9" width="15.88671875" customWidth="1"/>
    <col min="10" max="10" width="9" bestFit="1" customWidth="1"/>
    <col min="11" max="11" width="21.88671875" customWidth="1"/>
  </cols>
  <sheetData>
    <row r="2" spans="2:16" ht="23.4">
      <c r="D2" s="50" t="s">
        <v>252</v>
      </c>
    </row>
    <row r="4" spans="2:16" ht="15.6">
      <c r="B4" s="5" t="s">
        <v>5</v>
      </c>
      <c r="C4" s="5" t="s">
        <v>4</v>
      </c>
    </row>
    <row r="5" spans="2:16" ht="13.8" customHeight="1">
      <c r="B5" s="6">
        <v>0</v>
      </c>
      <c r="C5" s="6" t="s">
        <v>2</v>
      </c>
      <c r="D5" s="14"/>
      <c r="E5" s="52"/>
      <c r="F5" s="8" t="s">
        <v>79</v>
      </c>
      <c r="G5" s="8" t="s">
        <v>0</v>
      </c>
      <c r="H5" s="8" t="s">
        <v>80</v>
      </c>
      <c r="I5" s="9" t="s">
        <v>81</v>
      </c>
      <c r="J5" s="9" t="s">
        <v>1</v>
      </c>
      <c r="K5" s="9" t="s">
        <v>82</v>
      </c>
    </row>
    <row r="6" spans="2:16" ht="15.6">
      <c r="B6" s="6">
        <v>1</v>
      </c>
      <c r="C6" s="6" t="s">
        <v>3</v>
      </c>
      <c r="D6" s="14"/>
      <c r="E6" s="53">
        <v>1</v>
      </c>
      <c r="F6" s="10">
        <v>119390</v>
      </c>
      <c r="G6" s="10">
        <v>119386</v>
      </c>
      <c r="H6" s="11">
        <v>4</v>
      </c>
      <c r="I6" s="2">
        <v>32</v>
      </c>
      <c r="J6" s="2">
        <v>32</v>
      </c>
      <c r="K6" s="13">
        <v>0</v>
      </c>
    </row>
    <row r="7" spans="2:16" ht="15.6">
      <c r="B7" s="6">
        <v>2</v>
      </c>
      <c r="C7" s="6" t="s">
        <v>6</v>
      </c>
      <c r="D7" s="14"/>
      <c r="E7" s="53">
        <v>2</v>
      </c>
      <c r="F7" s="10">
        <v>119386</v>
      </c>
      <c r="G7" s="10">
        <v>119386</v>
      </c>
      <c r="H7" s="11">
        <v>0</v>
      </c>
      <c r="I7" s="2">
        <v>32</v>
      </c>
      <c r="J7" s="2">
        <v>32</v>
      </c>
      <c r="K7" s="13">
        <v>0</v>
      </c>
    </row>
    <row r="8" spans="2:16" ht="15.6">
      <c r="B8" s="6">
        <v>3</v>
      </c>
      <c r="C8" s="6" t="s">
        <v>7</v>
      </c>
      <c r="D8" s="14"/>
      <c r="E8" s="53">
        <v>3</v>
      </c>
      <c r="F8" s="10">
        <v>119386</v>
      </c>
      <c r="G8" s="10">
        <v>87392</v>
      </c>
      <c r="H8" s="12">
        <v>31994</v>
      </c>
      <c r="I8" s="2">
        <v>32</v>
      </c>
      <c r="J8" s="2">
        <v>32</v>
      </c>
      <c r="K8" s="13">
        <v>0</v>
      </c>
    </row>
    <row r="9" spans="2:16" ht="15.6">
      <c r="B9" s="6">
        <v>4</v>
      </c>
      <c r="C9" s="6" t="s">
        <v>8</v>
      </c>
      <c r="D9" s="14"/>
      <c r="E9" s="53">
        <v>4</v>
      </c>
      <c r="F9" s="10">
        <v>87392</v>
      </c>
      <c r="G9" s="10">
        <v>87392</v>
      </c>
      <c r="H9" s="11">
        <v>0</v>
      </c>
      <c r="I9" s="2">
        <v>32</v>
      </c>
      <c r="J9" s="2">
        <v>33</v>
      </c>
      <c r="K9" s="13">
        <v>1</v>
      </c>
    </row>
    <row r="10" spans="2:16" ht="15.6">
      <c r="B10" s="6">
        <v>5</v>
      </c>
      <c r="C10" s="6" t="s">
        <v>90</v>
      </c>
      <c r="D10" s="14"/>
      <c r="E10" s="53">
        <v>5</v>
      </c>
      <c r="F10" s="10">
        <f>G9</f>
        <v>87392</v>
      </c>
      <c r="G10" s="10">
        <v>87220</v>
      </c>
      <c r="H10" s="12">
        <f>F10-G10</f>
        <v>172</v>
      </c>
      <c r="I10" s="2">
        <v>33</v>
      </c>
      <c r="J10" s="2">
        <v>34</v>
      </c>
      <c r="K10" s="13">
        <v>1</v>
      </c>
    </row>
    <row r="11" spans="2:16" ht="15.6">
      <c r="B11" s="6">
        <v>6</v>
      </c>
      <c r="C11" s="6" t="s">
        <v>99</v>
      </c>
      <c r="D11" s="14"/>
      <c r="E11" s="53">
        <v>6</v>
      </c>
      <c r="F11" s="54">
        <f>G10</f>
        <v>87220</v>
      </c>
      <c r="G11" s="10">
        <v>87220</v>
      </c>
      <c r="H11" s="11">
        <v>0</v>
      </c>
      <c r="I11" s="2">
        <v>34</v>
      </c>
      <c r="J11" s="2">
        <v>33</v>
      </c>
      <c r="K11" s="13">
        <v>1</v>
      </c>
    </row>
    <row r="12" spans="2:16" ht="15.6">
      <c r="B12" s="6">
        <v>7</v>
      </c>
      <c r="C12" s="6" t="s">
        <v>97</v>
      </c>
      <c r="E12" s="53">
        <v>7</v>
      </c>
      <c r="F12" s="10">
        <v>87220</v>
      </c>
      <c r="G12" s="54">
        <v>87220</v>
      </c>
      <c r="H12" s="12">
        <v>0</v>
      </c>
      <c r="I12" s="2">
        <v>33</v>
      </c>
      <c r="J12" s="2">
        <v>32</v>
      </c>
      <c r="K12" s="13">
        <v>1</v>
      </c>
    </row>
    <row r="13" spans="2:16" ht="15.6">
      <c r="B13" s="6">
        <v>8</v>
      </c>
      <c r="C13" s="6" t="s">
        <v>98</v>
      </c>
      <c r="E13" s="53">
        <v>8</v>
      </c>
      <c r="F13" s="54">
        <f>G12</f>
        <v>87220</v>
      </c>
      <c r="G13" s="10">
        <v>87220</v>
      </c>
      <c r="H13" s="55">
        <f>F13-G13</f>
        <v>0</v>
      </c>
      <c r="I13" s="2">
        <v>30</v>
      </c>
      <c r="J13" s="2">
        <v>29</v>
      </c>
      <c r="K13" s="13">
        <v>1</v>
      </c>
    </row>
    <row r="14" spans="2:16" ht="15.6">
      <c r="B14" s="6">
        <v>9</v>
      </c>
      <c r="C14" s="6" t="s">
        <v>98</v>
      </c>
      <c r="E14" s="53">
        <v>9</v>
      </c>
      <c r="F14" s="54">
        <f>G13</f>
        <v>87220</v>
      </c>
      <c r="G14" s="10">
        <v>87220</v>
      </c>
      <c r="H14" s="55">
        <f>F14-G14</f>
        <v>0</v>
      </c>
      <c r="I14" s="2">
        <v>29</v>
      </c>
      <c r="J14" s="2">
        <v>28</v>
      </c>
      <c r="K14" s="13">
        <v>1</v>
      </c>
    </row>
    <row r="15" spans="2:16" ht="15.6">
      <c r="B15" s="6">
        <v>10</v>
      </c>
      <c r="C15" s="6" t="s">
        <v>100</v>
      </c>
      <c r="E15" s="53">
        <v>10</v>
      </c>
      <c r="F15" s="54">
        <f>G14</f>
        <v>87220</v>
      </c>
      <c r="G15" s="10">
        <v>86605</v>
      </c>
      <c r="H15" s="55">
        <f>F15-G15</f>
        <v>615</v>
      </c>
      <c r="I15" s="2">
        <v>28</v>
      </c>
      <c r="J15" s="2">
        <v>28</v>
      </c>
      <c r="K15" s="13">
        <v>0</v>
      </c>
    </row>
    <row r="16" spans="2:16" ht="15.6">
      <c r="B16" s="6">
        <v>11</v>
      </c>
      <c r="C16" s="6" t="s">
        <v>9</v>
      </c>
      <c r="E16" s="53">
        <v>11</v>
      </c>
      <c r="F16" s="54">
        <f>G15</f>
        <v>86605</v>
      </c>
      <c r="G16" s="10">
        <v>86605</v>
      </c>
      <c r="H16" s="56">
        <v>0</v>
      </c>
      <c r="I16" s="2">
        <v>28</v>
      </c>
      <c r="J16" s="2">
        <v>28</v>
      </c>
      <c r="K16" s="13">
        <v>0</v>
      </c>
      <c r="P16" s="7"/>
    </row>
    <row r="17" spans="2:11" ht="15.6">
      <c r="B17" s="51">
        <v>12</v>
      </c>
      <c r="C17" s="51" t="s">
        <v>253</v>
      </c>
      <c r="E17" s="53">
        <v>12</v>
      </c>
      <c r="F17" s="54">
        <f>G16</f>
        <v>86605</v>
      </c>
      <c r="G17" s="6">
        <v>84755</v>
      </c>
      <c r="H17" s="54">
        <f>F17-G17</f>
        <v>1850</v>
      </c>
      <c r="I17" s="6">
        <v>28</v>
      </c>
      <c r="J17" s="6">
        <v>28</v>
      </c>
      <c r="K17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B0D9-F8C0-4197-BF3C-EC40092398E1}">
  <dimension ref="B2:H37"/>
  <sheetViews>
    <sheetView topLeftCell="A11" zoomScale="71" workbookViewId="0">
      <selection activeCell="F2" sqref="F2:G32"/>
    </sheetView>
  </sheetViews>
  <sheetFormatPr defaultRowHeight="14.4"/>
  <cols>
    <col min="2" max="2" width="15.88671875" customWidth="1"/>
    <col min="3" max="3" width="29" customWidth="1"/>
    <col min="4" max="4" width="53.5546875" customWidth="1"/>
    <col min="7" max="7" width="33.33203125" bestFit="1" customWidth="1"/>
    <col min="8" max="8" width="23.77734375" customWidth="1"/>
  </cols>
  <sheetData>
    <row r="2" spans="2:8" ht="15.6">
      <c r="C2" s="43" t="s">
        <v>249</v>
      </c>
      <c r="G2" s="43" t="s">
        <v>250</v>
      </c>
    </row>
    <row r="4" spans="2:8" ht="15.6">
      <c r="B4" s="4" t="s">
        <v>43</v>
      </c>
      <c r="C4" s="4" t="s">
        <v>44</v>
      </c>
      <c r="D4" s="4" t="s">
        <v>78</v>
      </c>
      <c r="F4" s="4" t="s">
        <v>92</v>
      </c>
      <c r="G4" s="4" t="s">
        <v>44</v>
      </c>
      <c r="H4" s="4" t="s">
        <v>78</v>
      </c>
    </row>
    <row r="5" spans="2:8" ht="15.6">
      <c r="B5" s="2">
        <v>1</v>
      </c>
      <c r="C5" s="3" t="s">
        <v>93</v>
      </c>
      <c r="D5" s="2" t="s">
        <v>45</v>
      </c>
      <c r="F5" s="49">
        <v>1</v>
      </c>
      <c r="G5" s="49" t="s">
        <v>93</v>
      </c>
      <c r="H5" s="6"/>
    </row>
    <row r="6" spans="2:8" ht="15.6">
      <c r="B6" s="2">
        <v>2</v>
      </c>
      <c r="C6" s="3" t="s">
        <v>10</v>
      </c>
      <c r="D6" s="2" t="s">
        <v>46</v>
      </c>
      <c r="F6" s="49">
        <v>2</v>
      </c>
      <c r="G6" s="49" t="s">
        <v>10</v>
      </c>
      <c r="H6" s="6"/>
    </row>
    <row r="7" spans="2:8" ht="15.6">
      <c r="B7" s="2">
        <v>3</v>
      </c>
      <c r="C7" s="3" t="s">
        <v>11</v>
      </c>
      <c r="D7" s="2" t="s">
        <v>47</v>
      </c>
      <c r="F7" s="49">
        <v>3</v>
      </c>
      <c r="G7" s="49" t="s">
        <v>11</v>
      </c>
      <c r="H7" s="6"/>
    </row>
    <row r="8" spans="2:8" ht="18" customHeight="1">
      <c r="B8" s="2">
        <v>4</v>
      </c>
      <c r="C8" s="3" t="s">
        <v>12</v>
      </c>
      <c r="D8" s="2" t="s">
        <v>48</v>
      </c>
      <c r="F8" s="49">
        <v>4</v>
      </c>
      <c r="G8" s="49" t="s">
        <v>12</v>
      </c>
      <c r="H8" s="6"/>
    </row>
    <row r="9" spans="2:8" ht="15.6">
      <c r="B9" s="2">
        <v>5</v>
      </c>
      <c r="C9" s="3" t="s">
        <v>14</v>
      </c>
      <c r="D9" s="2" t="s">
        <v>49</v>
      </c>
      <c r="F9" s="49">
        <v>5</v>
      </c>
      <c r="G9" s="49" t="s">
        <v>94</v>
      </c>
      <c r="H9" s="6"/>
    </row>
    <row r="10" spans="2:8" ht="15.6">
      <c r="B10" s="2">
        <v>6</v>
      </c>
      <c r="C10" s="3" t="s">
        <v>15</v>
      </c>
      <c r="D10" s="2" t="s">
        <v>50</v>
      </c>
      <c r="F10" s="49">
        <v>6</v>
      </c>
      <c r="G10" s="49" t="s">
        <v>18</v>
      </c>
      <c r="H10" s="6"/>
    </row>
    <row r="11" spans="2:8" ht="15.6">
      <c r="B11" s="2">
        <v>7</v>
      </c>
      <c r="C11" s="3" t="s">
        <v>16</v>
      </c>
      <c r="D11" s="2" t="s">
        <v>51</v>
      </c>
      <c r="F11" s="49">
        <v>7</v>
      </c>
      <c r="G11" s="49" t="s">
        <v>19</v>
      </c>
      <c r="H11" s="6"/>
    </row>
    <row r="12" spans="2:8" ht="15.6">
      <c r="B12" s="2">
        <v>8</v>
      </c>
      <c r="C12" s="3" t="s">
        <v>17</v>
      </c>
      <c r="D12" s="2" t="s">
        <v>52</v>
      </c>
      <c r="F12" s="49">
        <v>8</v>
      </c>
      <c r="G12" s="49" t="s">
        <v>20</v>
      </c>
      <c r="H12" s="6"/>
    </row>
    <row r="13" spans="2:8" ht="31.2">
      <c r="B13" s="2">
        <v>9</v>
      </c>
      <c r="C13" s="3" t="s">
        <v>18</v>
      </c>
      <c r="D13" s="2" t="s">
        <v>53</v>
      </c>
      <c r="F13" s="49">
        <v>9</v>
      </c>
      <c r="G13" s="49" t="s">
        <v>95</v>
      </c>
      <c r="H13" s="6"/>
    </row>
    <row r="14" spans="2:8" ht="31.2">
      <c r="B14" s="2">
        <v>10</v>
      </c>
      <c r="C14" s="3" t="s">
        <v>19</v>
      </c>
      <c r="D14" s="2" t="s">
        <v>54</v>
      </c>
      <c r="F14" s="49">
        <v>10</v>
      </c>
      <c r="G14" s="49" t="s">
        <v>22</v>
      </c>
      <c r="H14" s="6"/>
    </row>
    <row r="15" spans="2:8" ht="15.6">
      <c r="B15" s="2">
        <v>11</v>
      </c>
      <c r="C15" s="3" t="s">
        <v>20</v>
      </c>
      <c r="D15" s="2" t="s">
        <v>55</v>
      </c>
      <c r="F15" s="49">
        <v>11</v>
      </c>
      <c r="G15" s="49" t="s">
        <v>87</v>
      </c>
      <c r="H15" s="6"/>
    </row>
    <row r="16" spans="2:8" ht="15.6">
      <c r="B16" s="2">
        <v>12</v>
      </c>
      <c r="C16" s="3" t="s">
        <v>21</v>
      </c>
      <c r="D16" s="2" t="s">
        <v>56</v>
      </c>
      <c r="F16" s="49">
        <v>12</v>
      </c>
      <c r="G16" s="49" t="s">
        <v>23</v>
      </c>
      <c r="H16" s="6"/>
    </row>
    <row r="17" spans="2:8" ht="15.6">
      <c r="B17" s="2">
        <v>13</v>
      </c>
      <c r="C17" s="3" t="s">
        <v>22</v>
      </c>
      <c r="D17" s="2" t="s">
        <v>57</v>
      </c>
      <c r="F17" s="49">
        <v>13</v>
      </c>
      <c r="G17" s="49" t="s">
        <v>24</v>
      </c>
      <c r="H17" s="6"/>
    </row>
    <row r="18" spans="2:8" ht="31.2">
      <c r="B18" s="2">
        <v>14</v>
      </c>
      <c r="C18" s="3" t="s">
        <v>23</v>
      </c>
      <c r="D18" s="2" t="s">
        <v>58</v>
      </c>
      <c r="F18" s="49">
        <v>14</v>
      </c>
      <c r="G18" s="49" t="s">
        <v>25</v>
      </c>
      <c r="H18" s="6"/>
    </row>
    <row r="19" spans="2:8" ht="15.6">
      <c r="B19" s="2">
        <v>15</v>
      </c>
      <c r="C19" s="3" t="s">
        <v>24</v>
      </c>
      <c r="D19" s="2" t="s">
        <v>59</v>
      </c>
      <c r="F19" s="49">
        <v>15</v>
      </c>
      <c r="G19" s="49" t="s">
        <v>26</v>
      </c>
      <c r="H19" s="6"/>
    </row>
    <row r="20" spans="2:8" ht="31.2">
      <c r="B20" s="2">
        <v>16</v>
      </c>
      <c r="C20" s="3" t="s">
        <v>25</v>
      </c>
      <c r="D20" s="2" t="s">
        <v>60</v>
      </c>
      <c r="F20" s="49">
        <v>16</v>
      </c>
      <c r="G20" s="49" t="s">
        <v>27</v>
      </c>
      <c r="H20" s="6"/>
    </row>
    <row r="21" spans="2:8" ht="31.2">
      <c r="B21" s="2">
        <v>17</v>
      </c>
      <c r="C21" s="3" t="s">
        <v>26</v>
      </c>
      <c r="D21" s="2" t="s">
        <v>61</v>
      </c>
      <c r="F21" s="49">
        <v>17</v>
      </c>
      <c r="G21" s="49" t="s">
        <v>28</v>
      </c>
      <c r="H21" s="6"/>
    </row>
    <row r="22" spans="2:8" ht="15.6">
      <c r="B22" s="2">
        <v>18</v>
      </c>
      <c r="C22" s="3" t="s">
        <v>27</v>
      </c>
      <c r="D22" s="2" t="s">
        <v>62</v>
      </c>
      <c r="F22" s="49">
        <v>18</v>
      </c>
      <c r="G22" s="49" t="s">
        <v>29</v>
      </c>
      <c r="H22" s="6"/>
    </row>
    <row r="23" spans="2:8" ht="15.6">
      <c r="B23" s="2">
        <v>19</v>
      </c>
      <c r="C23" s="3" t="s">
        <v>28</v>
      </c>
      <c r="D23" s="2" t="s">
        <v>63</v>
      </c>
      <c r="F23" s="49">
        <v>19</v>
      </c>
      <c r="G23" s="49" t="s">
        <v>30</v>
      </c>
      <c r="H23" s="6"/>
    </row>
    <row r="24" spans="2:8" ht="31.2">
      <c r="B24" s="2">
        <v>20</v>
      </c>
      <c r="C24" s="3" t="s">
        <v>29</v>
      </c>
      <c r="D24" s="2" t="s">
        <v>64</v>
      </c>
      <c r="F24" s="49">
        <v>20</v>
      </c>
      <c r="G24" s="49" t="s">
        <v>31</v>
      </c>
      <c r="H24" s="6"/>
    </row>
    <row r="25" spans="2:8" ht="15.6">
      <c r="B25" s="2">
        <v>21</v>
      </c>
      <c r="C25" s="3" t="s">
        <v>30</v>
      </c>
      <c r="D25" s="2" t="s">
        <v>65</v>
      </c>
      <c r="F25" s="49">
        <v>21</v>
      </c>
      <c r="G25" s="49" t="s">
        <v>32</v>
      </c>
      <c r="H25" s="6"/>
    </row>
    <row r="26" spans="2:8" ht="15.6">
      <c r="B26" s="2">
        <v>22</v>
      </c>
      <c r="C26" s="3" t="s">
        <v>31</v>
      </c>
      <c r="D26" s="2" t="s">
        <v>66</v>
      </c>
      <c r="F26" s="49">
        <v>22</v>
      </c>
      <c r="G26" s="49" t="s">
        <v>33</v>
      </c>
      <c r="H26" s="6"/>
    </row>
    <row r="27" spans="2:8" ht="15.6">
      <c r="B27" s="2">
        <v>23</v>
      </c>
      <c r="C27" s="3" t="s">
        <v>32</v>
      </c>
      <c r="D27" s="2" t="s">
        <v>67</v>
      </c>
      <c r="F27" s="49">
        <v>23</v>
      </c>
      <c r="G27" s="49" t="s">
        <v>34</v>
      </c>
      <c r="H27" s="6"/>
    </row>
    <row r="28" spans="2:8" ht="31.2">
      <c r="B28" s="2">
        <v>24</v>
      </c>
      <c r="C28" s="3" t="s">
        <v>33</v>
      </c>
      <c r="D28" s="2" t="s">
        <v>68</v>
      </c>
      <c r="F28" s="49">
        <v>24</v>
      </c>
      <c r="G28" s="49" t="s">
        <v>36</v>
      </c>
      <c r="H28" s="6"/>
    </row>
    <row r="29" spans="2:8" ht="31.2">
      <c r="B29" s="2">
        <v>25</v>
      </c>
      <c r="C29" s="3" t="s">
        <v>34</v>
      </c>
      <c r="D29" s="2" t="s">
        <v>69</v>
      </c>
      <c r="F29" s="49">
        <v>25</v>
      </c>
      <c r="G29" s="49" t="s">
        <v>37</v>
      </c>
      <c r="H29" s="6"/>
    </row>
    <row r="30" spans="2:8" ht="31.2">
      <c r="B30" s="2">
        <v>26</v>
      </c>
      <c r="C30" s="3" t="s">
        <v>35</v>
      </c>
      <c r="D30" s="2" t="s">
        <v>70</v>
      </c>
      <c r="F30" s="49">
        <v>26</v>
      </c>
      <c r="G30" s="49" t="s">
        <v>38</v>
      </c>
      <c r="H30" s="6"/>
    </row>
    <row r="31" spans="2:8" ht="15.6">
      <c r="B31" s="2">
        <v>27</v>
      </c>
      <c r="C31" s="3" t="s">
        <v>36</v>
      </c>
      <c r="D31" s="2" t="s">
        <v>71</v>
      </c>
      <c r="F31" s="49">
        <v>27</v>
      </c>
      <c r="G31" s="49" t="s">
        <v>41</v>
      </c>
      <c r="H31" s="6"/>
    </row>
    <row r="32" spans="2:8" ht="31.2">
      <c r="B32" s="2">
        <v>28</v>
      </c>
      <c r="C32" s="3" t="s">
        <v>37</v>
      </c>
      <c r="D32" s="2" t="s">
        <v>72</v>
      </c>
      <c r="F32" s="49">
        <v>28</v>
      </c>
      <c r="G32" s="49" t="s">
        <v>42</v>
      </c>
      <c r="H32" s="6"/>
    </row>
    <row r="33" spans="2:4" ht="15.6">
      <c r="B33" s="2">
        <v>29</v>
      </c>
      <c r="C33" s="3" t="s">
        <v>38</v>
      </c>
      <c r="D33" s="2" t="s">
        <v>73</v>
      </c>
    </row>
    <row r="34" spans="2:4" ht="15.6">
      <c r="B34" s="2">
        <v>30</v>
      </c>
      <c r="C34" s="3" t="s">
        <v>39</v>
      </c>
      <c r="D34" s="2" t="s">
        <v>74</v>
      </c>
    </row>
    <row r="35" spans="2:4" ht="15.6">
      <c r="B35" s="2">
        <v>31</v>
      </c>
      <c r="C35" s="3" t="s">
        <v>40</v>
      </c>
      <c r="D35" s="2" t="s">
        <v>75</v>
      </c>
    </row>
    <row r="36" spans="2:4" ht="15.6">
      <c r="B36" s="2">
        <v>32</v>
      </c>
      <c r="C36" s="3" t="s">
        <v>41</v>
      </c>
      <c r="D36" s="2" t="s">
        <v>76</v>
      </c>
    </row>
    <row r="37" spans="2:4" ht="15.6">
      <c r="B37" s="2">
        <v>33</v>
      </c>
      <c r="C37" s="3" t="s">
        <v>42</v>
      </c>
      <c r="D37" s="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C279F-2B82-4095-9029-39A0509AF4C9}">
  <dimension ref="B2:D15"/>
  <sheetViews>
    <sheetView workbookViewId="0">
      <selection activeCell="C2" sqref="C2"/>
    </sheetView>
  </sheetViews>
  <sheetFormatPr defaultRowHeight="14.4"/>
  <cols>
    <col min="3" max="3" width="29.21875" bestFit="1" customWidth="1"/>
    <col min="4" max="4" width="85.44140625" bestFit="1" customWidth="1"/>
  </cols>
  <sheetData>
    <row r="2" spans="2:4" ht="15.6">
      <c r="C2" s="43" t="s">
        <v>251</v>
      </c>
    </row>
    <row r="4" spans="2:4" ht="15.6">
      <c r="B4" s="43" t="s">
        <v>5</v>
      </c>
      <c r="C4" s="43" t="s">
        <v>44</v>
      </c>
      <c r="D4" s="43" t="s">
        <v>246</v>
      </c>
    </row>
    <row r="5" spans="2:4" ht="15.6">
      <c r="B5" s="49">
        <v>1</v>
      </c>
      <c r="C5" s="6" t="s">
        <v>83</v>
      </c>
      <c r="D5" s="6" t="s">
        <v>248</v>
      </c>
    </row>
    <row r="6" spans="2:4" ht="15.6">
      <c r="B6" s="49">
        <v>2</v>
      </c>
      <c r="C6" s="6" t="s">
        <v>91</v>
      </c>
      <c r="D6" s="6" t="s">
        <v>247</v>
      </c>
    </row>
    <row r="7" spans="2:4" ht="15.6">
      <c r="B7" s="49">
        <v>3</v>
      </c>
      <c r="C7" s="6" t="s">
        <v>16</v>
      </c>
      <c r="D7" s="6" t="s">
        <v>84</v>
      </c>
    </row>
    <row r="8" spans="2:4" ht="15.6">
      <c r="B8" s="49">
        <v>4</v>
      </c>
      <c r="C8" s="6" t="s">
        <v>85</v>
      </c>
      <c r="D8" s="6" t="s">
        <v>86</v>
      </c>
    </row>
    <row r="9" spans="2:4" ht="15.6">
      <c r="B9" s="49">
        <v>5</v>
      </c>
      <c r="C9" s="6" t="s">
        <v>88</v>
      </c>
      <c r="D9" s="6" t="s">
        <v>84</v>
      </c>
    </row>
    <row r="10" spans="2:4" ht="15.6">
      <c r="B10" s="49">
        <v>6</v>
      </c>
      <c r="C10" s="6" t="s">
        <v>34</v>
      </c>
      <c r="D10" s="6" t="s">
        <v>89</v>
      </c>
    </row>
    <row r="11" spans="2:4" ht="15.6">
      <c r="B11" s="49">
        <v>7</v>
      </c>
      <c r="C11" s="6" t="s">
        <v>23</v>
      </c>
      <c r="D11" s="6" t="s">
        <v>96</v>
      </c>
    </row>
    <row r="12" spans="2:4" ht="15.6">
      <c r="B12" s="49">
        <v>8</v>
      </c>
      <c r="C12" s="6" t="s">
        <v>26</v>
      </c>
      <c r="D12" s="6" t="s">
        <v>96</v>
      </c>
    </row>
    <row r="13" spans="2:4" ht="15.6">
      <c r="B13" s="49">
        <v>9</v>
      </c>
      <c r="C13" s="6" t="s">
        <v>39</v>
      </c>
      <c r="D13" s="6" t="s">
        <v>84</v>
      </c>
    </row>
    <row r="14" spans="2:4" ht="15.6">
      <c r="B14" s="49">
        <v>10</v>
      </c>
      <c r="C14" s="6" t="s">
        <v>40</v>
      </c>
      <c r="D14" s="6" t="s">
        <v>84</v>
      </c>
    </row>
    <row r="15" spans="2:4" ht="15.6">
      <c r="B15" s="49">
        <v>11</v>
      </c>
      <c r="C15" s="6" t="s">
        <v>107</v>
      </c>
      <c r="D15" s="6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0175-FF74-49CD-BEDC-3226069E4333}">
  <dimension ref="B4:W42"/>
  <sheetViews>
    <sheetView zoomScale="112" workbookViewId="0">
      <selection activeCell="B2" sqref="B2"/>
    </sheetView>
  </sheetViews>
  <sheetFormatPr defaultRowHeight="14.4"/>
  <cols>
    <col min="2" max="2" width="64.44140625" bestFit="1" customWidth="1"/>
    <col min="3" max="3" width="8.33203125" customWidth="1"/>
    <col min="5" max="5" width="43.6640625" bestFit="1" customWidth="1"/>
    <col min="6" max="6" width="126.109375" bestFit="1" customWidth="1"/>
    <col min="7" max="7" width="152" bestFit="1" customWidth="1"/>
    <col min="9" max="9" width="10" bestFit="1" customWidth="1"/>
    <col min="10" max="10" width="7.109375" bestFit="1" customWidth="1"/>
    <col min="11" max="11" width="60" bestFit="1" customWidth="1"/>
    <col min="12" max="12" width="64.5546875" bestFit="1" customWidth="1"/>
    <col min="13" max="13" width="39" bestFit="1" customWidth="1"/>
    <col min="14" max="14" width="152.33203125" bestFit="1" customWidth="1"/>
    <col min="16" max="16" width="19.6640625" bestFit="1" customWidth="1"/>
    <col min="18" max="18" width="20.5546875" bestFit="1" customWidth="1"/>
    <col min="19" max="19" width="20.6640625" bestFit="1" customWidth="1"/>
    <col min="22" max="22" width="34.109375" bestFit="1" customWidth="1"/>
  </cols>
  <sheetData>
    <row r="4" spans="2:21" ht="20.399999999999999">
      <c r="B4" s="23" t="s">
        <v>185</v>
      </c>
      <c r="C4" s="15"/>
      <c r="D4" s="22" t="s">
        <v>161</v>
      </c>
      <c r="I4" s="24" t="s">
        <v>136</v>
      </c>
      <c r="P4" s="25" t="s">
        <v>130</v>
      </c>
    </row>
    <row r="6" spans="2:21" ht="15.6">
      <c r="D6" s="35" t="s">
        <v>5</v>
      </c>
      <c r="E6" s="35" t="s">
        <v>105</v>
      </c>
      <c r="F6" s="35" t="s">
        <v>78</v>
      </c>
      <c r="G6" s="35" t="s">
        <v>106</v>
      </c>
      <c r="J6" s="43" t="s">
        <v>5</v>
      </c>
      <c r="K6" s="43" t="s">
        <v>116</v>
      </c>
      <c r="L6" s="43" t="s">
        <v>121</v>
      </c>
      <c r="M6" s="43" t="s">
        <v>124</v>
      </c>
      <c r="N6" s="31" t="s">
        <v>182</v>
      </c>
      <c r="Q6" s="32" t="s">
        <v>5</v>
      </c>
      <c r="R6" s="32" t="s">
        <v>131</v>
      </c>
      <c r="S6" s="32" t="s">
        <v>132</v>
      </c>
    </row>
    <row r="7" spans="2:21" ht="18">
      <c r="D7" s="36">
        <v>1</v>
      </c>
      <c r="E7" s="36" t="s">
        <v>13</v>
      </c>
      <c r="F7" s="6" t="s">
        <v>211</v>
      </c>
      <c r="G7" s="38" t="s">
        <v>112</v>
      </c>
      <c r="J7" s="6">
        <v>1</v>
      </c>
      <c r="K7" s="6" t="s">
        <v>117</v>
      </c>
      <c r="L7" s="42" t="s">
        <v>122</v>
      </c>
      <c r="M7" s="6" t="s">
        <v>125</v>
      </c>
      <c r="N7" s="6" t="s">
        <v>221</v>
      </c>
      <c r="Q7" s="6">
        <v>1</v>
      </c>
      <c r="R7" s="6" t="s">
        <v>133</v>
      </c>
      <c r="S7" s="6" t="s">
        <v>10</v>
      </c>
      <c r="U7" s="16"/>
    </row>
    <row r="8" spans="2:21" ht="18">
      <c r="D8" s="36">
        <v>2</v>
      </c>
      <c r="E8" s="36" t="s">
        <v>101</v>
      </c>
      <c r="F8" s="6" t="s">
        <v>212</v>
      </c>
      <c r="G8" s="38" t="s">
        <v>113</v>
      </c>
      <c r="J8" s="6">
        <v>2</v>
      </c>
      <c r="K8" s="6" t="s">
        <v>118</v>
      </c>
      <c r="L8" s="33" t="s">
        <v>123</v>
      </c>
      <c r="M8" s="6" t="s">
        <v>126</v>
      </c>
      <c r="N8" s="6" t="s">
        <v>222</v>
      </c>
      <c r="Q8" s="6">
        <v>2</v>
      </c>
      <c r="R8" s="6" t="s">
        <v>134</v>
      </c>
      <c r="S8" s="6" t="s">
        <v>25</v>
      </c>
      <c r="U8" s="16"/>
    </row>
    <row r="9" spans="2:21" ht="18">
      <c r="D9" s="36">
        <v>3</v>
      </c>
      <c r="E9" s="36" t="s">
        <v>102</v>
      </c>
      <c r="F9" s="6" t="s">
        <v>213</v>
      </c>
      <c r="G9" s="38" t="s">
        <v>114</v>
      </c>
      <c r="J9" s="6">
        <v>3</v>
      </c>
      <c r="K9" s="6" t="s">
        <v>119</v>
      </c>
      <c r="L9" s="42" t="s">
        <v>10</v>
      </c>
      <c r="M9" s="6" t="s">
        <v>127</v>
      </c>
      <c r="N9" s="6" t="s">
        <v>223</v>
      </c>
      <c r="Q9" s="6">
        <v>3</v>
      </c>
      <c r="R9" s="6" t="s">
        <v>135</v>
      </c>
      <c r="S9" s="6" t="s">
        <v>37</v>
      </c>
      <c r="U9" s="16"/>
    </row>
    <row r="10" spans="2:21" ht="18">
      <c r="D10" s="36">
        <v>4</v>
      </c>
      <c r="E10" s="36" t="s">
        <v>103</v>
      </c>
      <c r="F10" s="6" t="s">
        <v>216</v>
      </c>
      <c r="G10" s="38" t="s">
        <v>115</v>
      </c>
      <c r="J10" s="6">
        <v>4</v>
      </c>
      <c r="K10" s="6" t="s">
        <v>120</v>
      </c>
      <c r="L10" s="33" t="s">
        <v>137</v>
      </c>
      <c r="M10" s="6" t="s">
        <v>128</v>
      </c>
      <c r="N10" s="6" t="s">
        <v>224</v>
      </c>
      <c r="U10" s="16"/>
    </row>
    <row r="11" spans="2:21" ht="18">
      <c r="D11" s="36">
        <v>5</v>
      </c>
      <c r="E11" s="37" t="s">
        <v>104</v>
      </c>
      <c r="F11" s="6" t="s">
        <v>214</v>
      </c>
      <c r="G11" s="38" t="s">
        <v>109</v>
      </c>
    </row>
    <row r="12" spans="2:21" ht="15.6">
      <c r="D12" s="36">
        <v>6</v>
      </c>
      <c r="E12" s="36" t="s">
        <v>110</v>
      </c>
      <c r="F12" s="6" t="s">
        <v>215</v>
      </c>
      <c r="G12" s="38" t="s">
        <v>111</v>
      </c>
    </row>
    <row r="13" spans="2:21">
      <c r="F13" s="18"/>
    </row>
    <row r="14" spans="2:21">
      <c r="G14" s="17"/>
    </row>
    <row r="15" spans="2:21" ht="20.399999999999999">
      <c r="B15" s="23" t="s">
        <v>186</v>
      </c>
      <c r="C15" s="15"/>
      <c r="D15" s="22" t="s">
        <v>161</v>
      </c>
      <c r="G15" s="17"/>
      <c r="I15" s="24" t="s">
        <v>136</v>
      </c>
      <c r="P15" s="25" t="s">
        <v>130</v>
      </c>
    </row>
    <row r="16" spans="2:21">
      <c r="G16" s="17"/>
    </row>
    <row r="17" spans="2:23" ht="15.6">
      <c r="D17" s="35" t="s">
        <v>5</v>
      </c>
      <c r="E17" s="35" t="s">
        <v>105</v>
      </c>
      <c r="F17" s="34" t="s">
        <v>78</v>
      </c>
      <c r="G17" s="35" t="s">
        <v>106</v>
      </c>
      <c r="J17" s="44" t="s">
        <v>5</v>
      </c>
      <c r="K17" s="44" t="s">
        <v>116</v>
      </c>
      <c r="L17" s="44" t="s">
        <v>121</v>
      </c>
      <c r="M17" s="44" t="s">
        <v>124</v>
      </c>
      <c r="N17" s="31" t="s">
        <v>182</v>
      </c>
      <c r="Q17" s="32" t="s">
        <v>5</v>
      </c>
      <c r="R17" s="32" t="s">
        <v>131</v>
      </c>
      <c r="S17" s="32" t="s">
        <v>132</v>
      </c>
    </row>
    <row r="18" spans="2:23" ht="18">
      <c r="D18" s="6">
        <v>1</v>
      </c>
      <c r="E18" s="41" t="s">
        <v>138</v>
      </c>
      <c r="F18" s="6" t="s">
        <v>217</v>
      </c>
      <c r="G18" s="39" t="s">
        <v>153</v>
      </c>
      <c r="J18" s="6">
        <v>1</v>
      </c>
      <c r="K18" s="6" t="s">
        <v>141</v>
      </c>
      <c r="L18" s="6" t="s">
        <v>156</v>
      </c>
      <c r="M18" s="42" t="s">
        <v>129</v>
      </c>
      <c r="N18" s="6" t="s">
        <v>225</v>
      </c>
      <c r="Q18" s="6">
        <v>1</v>
      </c>
      <c r="R18" s="33" t="s">
        <v>145</v>
      </c>
      <c r="S18" s="33" t="s">
        <v>37</v>
      </c>
    </row>
    <row r="19" spans="2:23" ht="18">
      <c r="D19" s="6">
        <v>2</v>
      </c>
      <c r="E19" s="41" t="s">
        <v>139</v>
      </c>
      <c r="F19" s="6" t="s">
        <v>218</v>
      </c>
      <c r="G19" s="40" t="s">
        <v>151</v>
      </c>
      <c r="J19" s="6">
        <v>2</v>
      </c>
      <c r="K19" s="6" t="s">
        <v>142</v>
      </c>
      <c r="L19" s="6" t="s">
        <v>155</v>
      </c>
      <c r="M19" s="42" t="s">
        <v>143</v>
      </c>
      <c r="N19" s="6" t="s">
        <v>226</v>
      </c>
      <c r="Q19" s="6">
        <v>2</v>
      </c>
      <c r="R19" s="33" t="s">
        <v>146</v>
      </c>
      <c r="S19" s="33" t="s">
        <v>94</v>
      </c>
    </row>
    <row r="20" spans="2:23" ht="18">
      <c r="D20" s="6">
        <v>3</v>
      </c>
      <c r="E20" s="41" t="s">
        <v>140</v>
      </c>
      <c r="F20" s="6" t="s">
        <v>219</v>
      </c>
      <c r="G20" s="39" t="s">
        <v>152</v>
      </c>
      <c r="J20" s="6">
        <v>3</v>
      </c>
      <c r="K20" s="6" t="s">
        <v>157</v>
      </c>
      <c r="L20" s="6" t="s">
        <v>158</v>
      </c>
      <c r="M20" s="42" t="s">
        <v>125</v>
      </c>
      <c r="N20" s="6" t="s">
        <v>227</v>
      </c>
      <c r="R20" s="19"/>
      <c r="S20" s="19"/>
    </row>
    <row r="21" spans="2:23" ht="18">
      <c r="D21" s="6">
        <v>4</v>
      </c>
      <c r="E21" s="41" t="s">
        <v>147</v>
      </c>
      <c r="F21" s="6" t="s">
        <v>220</v>
      </c>
      <c r="G21" s="39" t="s">
        <v>154</v>
      </c>
      <c r="J21" s="6">
        <v>4</v>
      </c>
      <c r="K21" s="6" t="s">
        <v>159</v>
      </c>
      <c r="L21" s="6" t="s">
        <v>160</v>
      </c>
      <c r="M21" s="42" t="s">
        <v>144</v>
      </c>
      <c r="N21" s="6" t="s">
        <v>228</v>
      </c>
    </row>
    <row r="22" spans="2:23" ht="18">
      <c r="G22" s="17"/>
      <c r="J22" s="6">
        <v>5</v>
      </c>
      <c r="K22" s="6" t="s">
        <v>148</v>
      </c>
      <c r="L22" s="6" t="s">
        <v>150</v>
      </c>
      <c r="M22" s="42" t="s">
        <v>149</v>
      </c>
      <c r="N22" s="6" t="s">
        <v>229</v>
      </c>
    </row>
    <row r="23" spans="2:23">
      <c r="G23" s="17"/>
    </row>
    <row r="24" spans="2:23">
      <c r="G24" s="17"/>
    </row>
    <row r="25" spans="2:23" ht="20.399999999999999">
      <c r="B25" s="23" t="s">
        <v>187</v>
      </c>
      <c r="D25" s="22" t="s">
        <v>161</v>
      </c>
      <c r="I25" s="24" t="s">
        <v>136</v>
      </c>
      <c r="P25" s="25" t="s">
        <v>130</v>
      </c>
    </row>
    <row r="27" spans="2:23" ht="18">
      <c r="D27" s="30" t="s">
        <v>5</v>
      </c>
      <c r="E27" s="30" t="s">
        <v>105</v>
      </c>
      <c r="F27" s="30" t="s">
        <v>78</v>
      </c>
      <c r="G27" s="30" t="s">
        <v>106</v>
      </c>
      <c r="J27" s="45" t="s">
        <v>5</v>
      </c>
      <c r="K27" s="45" t="s">
        <v>116</v>
      </c>
      <c r="L27" s="45" t="s">
        <v>121</v>
      </c>
      <c r="M27" s="45" t="s">
        <v>181</v>
      </c>
      <c r="N27" s="45" t="s">
        <v>182</v>
      </c>
      <c r="O27" s="20"/>
      <c r="Q27" s="32" t="s">
        <v>5</v>
      </c>
      <c r="R27" s="32" t="s">
        <v>131</v>
      </c>
      <c r="S27" s="32" t="s">
        <v>132</v>
      </c>
    </row>
    <row r="28" spans="2:23" ht="18">
      <c r="D28" s="6">
        <v>1</v>
      </c>
      <c r="E28" s="6" t="s">
        <v>174</v>
      </c>
      <c r="F28" s="6" t="s">
        <v>176</v>
      </c>
      <c r="G28" s="6"/>
      <c r="J28" s="46">
        <v>1</v>
      </c>
      <c r="K28" s="46" t="s">
        <v>230</v>
      </c>
      <c r="L28" s="46" t="s">
        <v>231</v>
      </c>
      <c r="M28" s="46" t="s">
        <v>127</v>
      </c>
      <c r="N28" s="46" t="s">
        <v>239</v>
      </c>
      <c r="O28" s="21"/>
      <c r="Q28" s="6">
        <v>3</v>
      </c>
      <c r="R28" s="6" t="s">
        <v>134</v>
      </c>
      <c r="S28" s="6" t="s">
        <v>25</v>
      </c>
      <c r="W28" s="16"/>
    </row>
    <row r="29" spans="2:23" ht="18">
      <c r="D29" s="6">
        <v>2</v>
      </c>
      <c r="E29" s="6" t="s">
        <v>162</v>
      </c>
      <c r="F29" s="6" t="s">
        <v>177</v>
      </c>
      <c r="G29" s="6"/>
      <c r="J29" s="46">
        <v>2</v>
      </c>
      <c r="K29" s="46" t="s">
        <v>232</v>
      </c>
      <c r="L29" s="46" t="s">
        <v>233</v>
      </c>
      <c r="M29" s="46" t="s">
        <v>234</v>
      </c>
      <c r="N29" s="46" t="s">
        <v>240</v>
      </c>
      <c r="O29" s="21"/>
      <c r="Q29" s="6">
        <v>4</v>
      </c>
      <c r="R29" s="6" t="s">
        <v>169</v>
      </c>
      <c r="S29" s="6" t="s">
        <v>26</v>
      </c>
      <c r="W29" s="16"/>
    </row>
    <row r="30" spans="2:23" ht="18">
      <c r="D30" s="6">
        <v>3</v>
      </c>
      <c r="E30" s="6" t="s">
        <v>163</v>
      </c>
      <c r="F30" s="6" t="s">
        <v>178</v>
      </c>
      <c r="G30" s="6"/>
      <c r="J30" s="46">
        <v>3</v>
      </c>
      <c r="K30" s="46" t="s">
        <v>235</v>
      </c>
      <c r="L30" s="46" t="s">
        <v>236</v>
      </c>
      <c r="M30" s="46" t="s">
        <v>234</v>
      </c>
      <c r="N30" s="46" t="s">
        <v>241</v>
      </c>
      <c r="O30" s="21"/>
      <c r="W30" s="16"/>
    </row>
    <row r="31" spans="2:23" ht="18">
      <c r="D31" s="6">
        <v>4</v>
      </c>
      <c r="E31" s="6" t="s">
        <v>164</v>
      </c>
      <c r="F31" s="6" t="s">
        <v>179</v>
      </c>
      <c r="G31" s="6"/>
      <c r="J31" s="46">
        <v>4</v>
      </c>
      <c r="K31" s="46" t="s">
        <v>168</v>
      </c>
      <c r="L31" s="46" t="s">
        <v>167</v>
      </c>
      <c r="M31" s="46" t="s">
        <v>166</v>
      </c>
      <c r="N31" s="46" t="s">
        <v>242</v>
      </c>
      <c r="O31" s="21"/>
      <c r="W31" s="16"/>
    </row>
    <row r="32" spans="2:23" ht="18">
      <c r="D32" s="6">
        <v>5</v>
      </c>
      <c r="E32" s="6" t="s">
        <v>175</v>
      </c>
      <c r="F32" s="6" t="s">
        <v>180</v>
      </c>
      <c r="G32" s="6"/>
      <c r="J32" s="46">
        <v>5</v>
      </c>
      <c r="K32" s="46" t="s">
        <v>183</v>
      </c>
      <c r="L32" s="46" t="s">
        <v>184</v>
      </c>
      <c r="M32" s="46" t="s">
        <v>165</v>
      </c>
      <c r="N32" s="46" t="s">
        <v>243</v>
      </c>
      <c r="O32" s="21"/>
    </row>
    <row r="33" spans="2:19" ht="18">
      <c r="J33" s="46">
        <v>6</v>
      </c>
      <c r="K33" s="46" t="s">
        <v>237</v>
      </c>
      <c r="L33" s="46" t="s">
        <v>238</v>
      </c>
      <c r="M33" s="47" t="s">
        <v>245</v>
      </c>
      <c r="N33" s="46" t="s">
        <v>244</v>
      </c>
    </row>
    <row r="34" spans="2:19">
      <c r="M34" s="21"/>
    </row>
    <row r="36" spans="2:19" ht="21.6">
      <c r="B36" s="23" t="s">
        <v>188</v>
      </c>
      <c r="C36" s="15"/>
      <c r="D36" s="26" t="s">
        <v>161</v>
      </c>
      <c r="I36" s="28" t="s">
        <v>136</v>
      </c>
      <c r="P36" s="25" t="s">
        <v>130</v>
      </c>
    </row>
    <row r="38" spans="2:19" ht="15.6">
      <c r="D38" s="29" t="s">
        <v>5</v>
      </c>
      <c r="E38" s="29" t="s">
        <v>189</v>
      </c>
      <c r="F38" s="29" t="s">
        <v>190</v>
      </c>
      <c r="G38" s="29" t="s">
        <v>106</v>
      </c>
      <c r="J38" s="4" t="s">
        <v>5</v>
      </c>
      <c r="K38" s="4" t="s">
        <v>116</v>
      </c>
      <c r="L38" s="4" t="s">
        <v>121</v>
      </c>
      <c r="M38" s="4" t="s">
        <v>181</v>
      </c>
      <c r="N38" s="4" t="s">
        <v>182</v>
      </c>
      <c r="Q38" s="32" t="s">
        <v>5</v>
      </c>
      <c r="R38" s="32" t="s">
        <v>131</v>
      </c>
      <c r="S38" s="32" t="s">
        <v>132</v>
      </c>
    </row>
    <row r="39" spans="2:19" ht="15.6">
      <c r="D39" s="2">
        <v>1</v>
      </c>
      <c r="E39" s="2" t="s">
        <v>191</v>
      </c>
      <c r="F39" s="2" t="s">
        <v>192</v>
      </c>
      <c r="G39" s="48" t="s">
        <v>196</v>
      </c>
      <c r="J39" s="2">
        <v>1</v>
      </c>
      <c r="K39" s="1" t="s">
        <v>199</v>
      </c>
      <c r="L39" s="27" t="s">
        <v>207</v>
      </c>
      <c r="M39" s="2" t="s">
        <v>125</v>
      </c>
      <c r="N39" s="2" t="s">
        <v>200</v>
      </c>
      <c r="Q39" s="6">
        <v>2</v>
      </c>
      <c r="R39" s="6" t="s">
        <v>171</v>
      </c>
      <c r="S39" s="6" t="s">
        <v>37</v>
      </c>
    </row>
    <row r="40" spans="2:19" ht="15.6">
      <c r="D40" s="2">
        <v>2</v>
      </c>
      <c r="E40" s="2" t="s">
        <v>170</v>
      </c>
      <c r="F40" s="2" t="s">
        <v>193</v>
      </c>
      <c r="G40" s="48" t="s">
        <v>197</v>
      </c>
      <c r="J40" s="2">
        <v>2</v>
      </c>
      <c r="K40" s="1" t="s">
        <v>201</v>
      </c>
      <c r="L40" s="27" t="s">
        <v>208</v>
      </c>
      <c r="M40" s="2" t="s">
        <v>128</v>
      </c>
      <c r="N40" s="2" t="s">
        <v>202</v>
      </c>
      <c r="Q40" s="6">
        <v>3</v>
      </c>
      <c r="R40" s="6" t="s">
        <v>172</v>
      </c>
      <c r="S40" s="6" t="s">
        <v>10</v>
      </c>
    </row>
    <row r="41" spans="2:19" ht="31.2">
      <c r="D41" s="2">
        <v>3</v>
      </c>
      <c r="E41" s="2" t="s">
        <v>194</v>
      </c>
      <c r="F41" s="2" t="s">
        <v>195</v>
      </c>
      <c r="G41" s="48" t="s">
        <v>198</v>
      </c>
      <c r="J41" s="2">
        <v>3</v>
      </c>
      <c r="K41" s="1" t="s">
        <v>203</v>
      </c>
      <c r="L41" s="27" t="s">
        <v>209</v>
      </c>
      <c r="M41" s="2" t="s">
        <v>166</v>
      </c>
      <c r="N41" s="2" t="s">
        <v>204</v>
      </c>
      <c r="Q41" s="6">
        <v>4</v>
      </c>
      <c r="R41" s="6" t="s">
        <v>173</v>
      </c>
      <c r="S41" s="6" t="s">
        <v>94</v>
      </c>
    </row>
    <row r="42" spans="2:19" ht="15.6">
      <c r="J42" s="2">
        <v>4</v>
      </c>
      <c r="K42" s="1" t="s">
        <v>205</v>
      </c>
      <c r="L42" s="27" t="s">
        <v>210</v>
      </c>
      <c r="M42" s="2" t="s">
        <v>127</v>
      </c>
      <c r="N42" s="2" t="s">
        <v>206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75CF11-EF12-483C-97FB-5357769F9F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KYD-Data Cleaning</vt:lpstr>
      <vt:lpstr>KYV-Columns</vt:lpstr>
      <vt:lpstr>Data-Transformation-Wrangling</vt:lpstr>
      <vt:lpstr>Storytelling-KPI-Charts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Wahatule</dc:creator>
  <cp:lastModifiedBy>Prafull Wahatule</cp:lastModifiedBy>
  <dcterms:created xsi:type="dcterms:W3CDTF">2025-10-14T04:16:53Z</dcterms:created>
  <dcterms:modified xsi:type="dcterms:W3CDTF">2025-11-17T15:57:12Z</dcterms:modified>
</cp:coreProperties>
</file>